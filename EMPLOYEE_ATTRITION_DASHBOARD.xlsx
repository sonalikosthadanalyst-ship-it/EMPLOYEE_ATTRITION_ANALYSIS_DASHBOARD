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EXCEL DATA ANALYTICS PROJECTS\EMPLOYEE_ATTRITION_DASHBOARD\"/>
    </mc:Choice>
  </mc:AlternateContent>
  <xr:revisionPtr revIDLastSave="0" documentId="13_ncr:1_{E5A4C602-E306-4BA7-B5F4-B5FD5CD5E852}" xr6:coauthVersionLast="47" xr6:coauthVersionMax="47" xr10:uidLastSave="{00000000-0000-0000-0000-000000000000}"/>
  <bookViews>
    <workbookView xWindow="-110" yWindow="-110" windowWidth="19420" windowHeight="10300" activeTab="1" xr2:uid="{7568873C-F8E2-4889-BB1C-67FB02E541DF}"/>
  </bookViews>
  <sheets>
    <sheet name="Sheet2" sheetId="2" r:id="rId1"/>
    <sheet name="Sheet5" sheetId="5" r:id="rId2"/>
    <sheet name="Sheet3" sheetId="3" r:id="rId3"/>
    <sheet name="Sheet4" sheetId="4" r:id="rId4"/>
    <sheet name="Sheet1" sheetId="1" r:id="rId5"/>
  </sheets>
  <definedNames>
    <definedName name="Slicer_DEPARTMENT">#N/A</definedName>
    <definedName name="Slicer_GENDER">#N/A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5" l="1"/>
  <c r="C3" i="5"/>
  <c r="J3" i="1"/>
  <c r="K3" i="1"/>
  <c r="I3" i="1"/>
  <c r="H3" i="1"/>
</calcChain>
</file>

<file path=xl/sharedStrings.xml><?xml version="1.0" encoding="utf-8"?>
<sst xmlns="http://schemas.openxmlformats.org/spreadsheetml/2006/main" count="77" uniqueCount="36">
  <si>
    <t>EMPLOYEE ATTRITION ANALYSIS DASHBOARD</t>
  </si>
  <si>
    <t>EMPLOYEE ID</t>
  </si>
  <si>
    <t>NAME</t>
  </si>
  <si>
    <t>DEPARTMENT</t>
  </si>
  <si>
    <t>GENDER</t>
  </si>
  <si>
    <t xml:space="preserve">SALARY </t>
  </si>
  <si>
    <t>EXPERIRENCE</t>
  </si>
  <si>
    <t>ATTRITION</t>
  </si>
  <si>
    <t xml:space="preserve">RAHUL  </t>
  </si>
  <si>
    <t>AMAN</t>
  </si>
  <si>
    <t>NEHA</t>
  </si>
  <si>
    <t>RIYA</t>
  </si>
  <si>
    <t>KARAN</t>
  </si>
  <si>
    <t>POOJA</t>
  </si>
  <si>
    <t>MOHIT</t>
  </si>
  <si>
    <t>SNEHA</t>
  </si>
  <si>
    <t>ARJUN</t>
  </si>
  <si>
    <t>SIMRAN</t>
  </si>
  <si>
    <t>VIKAS</t>
  </si>
  <si>
    <t>ANJALI</t>
  </si>
  <si>
    <t>IT</t>
  </si>
  <si>
    <t>HR</t>
  </si>
  <si>
    <t xml:space="preserve">SALES </t>
  </si>
  <si>
    <t>FINANCE</t>
  </si>
  <si>
    <t>MALE</t>
  </si>
  <si>
    <t>FEMALE</t>
  </si>
  <si>
    <t>NO</t>
  </si>
  <si>
    <t>YES</t>
  </si>
  <si>
    <t>TOTAL EMPLOYEES</t>
  </si>
  <si>
    <t>ATTRITION COUNT</t>
  </si>
  <si>
    <t>ATTRITION RATE</t>
  </si>
  <si>
    <t>AVERAGE SALARY</t>
  </si>
  <si>
    <t>Row Labels</t>
  </si>
  <si>
    <t>Grand Total</t>
  </si>
  <si>
    <t>Count of ATTRITION</t>
  </si>
  <si>
    <t xml:space="preserve"> EMPLOYEE ATTRITION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</si>
</sst>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4" x14ac:knownFonts="1">
    <font>
      <sz val="11"/>
      <color theme="1"/>
      <name val="Calibri"/>
      <family val="2"/>
      <scheme val="minor"/>
    </font>
    <font>
      <sz val="18"/>
      <color theme="1"/>
      <name val="Calibri"/>
      <family val="2"/>
      <scheme val="minor"/>
    </font>
    <font>
      <sz val="22"/>
      <color theme="1"/>
      <name val="Calibri"/>
      <family val="2"/>
      <scheme val="minor"/>
    </font>
    <font>
      <b/>
      <sz val="18"/>
      <color theme="0"/>
      <name val="Calibri"/>
      <family val="2"/>
      <scheme val="minor"/>
    </font>
  </fonts>
  <fills count="5">
    <fill>
      <patternFill patternType="none"/>
    </fill>
    <fill>
      <patternFill patternType="gray125"/>
    </fill>
    <fill>
      <patternFill patternType="solid">
        <fgColor theme="5"/>
        <bgColor theme="5"/>
      </patternFill>
    </fill>
    <fill>
      <patternFill patternType="solid">
        <fgColor theme="5" tint="0.79998168889431442"/>
        <bgColor theme="5" tint="0.79998168889431442"/>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3" fillId="2" borderId="1" xfId="0" applyFont="1" applyFill="1" applyBorder="1"/>
    <xf numFmtId="0" fontId="1" fillId="3" borderId="1" xfId="0" applyFont="1" applyFill="1" applyBorder="1"/>
    <xf numFmtId="10" fontId="1" fillId="3" borderId="1" xfId="0" applyNumberFormat="1" applyFont="1" applyFill="1" applyBorder="1"/>
    <xf numFmtId="1" fontId="1" fillId="3" borderId="1" xfId="0" applyNumberFormat="1" applyFont="1" applyFill="1" applyBorder="1"/>
    <xf numFmtId="0" fontId="2" fillId="4" borderId="0" xfId="0" applyFont="1" applyFill="1" applyAlignment="1">
      <alignment horizontal="center"/>
    </xf>
    <xf numFmtId="0" fontId="0" fillId="4" borderId="0" xfId="0" applyFill="1" applyAlignment="1">
      <alignment horizontal="center"/>
    </xf>
    <xf numFmtId="0" fontId="2" fillId="0" borderId="0" xfId="0" applyFont="1" applyAlignment="1">
      <alignment horizontal="center"/>
    </xf>
  </cellXfs>
  <cellStyles count="1">
    <cellStyle name="Normal" xfId="0" builtinId="0"/>
  </cellStyles>
  <dxfs count="9">
    <dxf>
      <numFmt numFmtId="0" formatCode="General"/>
    </dxf>
    <dxf>
      <numFmt numFmtId="1" formatCode="0"/>
    </dxf>
    <dxf>
      <numFmt numFmtId="0" formatCode="General"/>
    </dxf>
    <dxf>
      <numFmt numFmtId="0" formatCode="Genera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[EMPLOYEE_ATTRITION_DASHBOARD.xlsx]Sheet2!PivotTable1</c:name>
    <c:fmtId val="0"/>
  </c:pivotSource>
  <c:chart>
    <c:title>
      <c:tx>
        <c:rich>
          <a:bodyPr rot="0" spcFirstLastPara="1" vertOverflow="ellipsis" vert="horz" wrap="square" anchor="ctr" anchorCtr="1"/>
          <a:lstStyle/>
          <a:p>
            <a:pPr>
              <a:defRPr sz="1400" b="1" i="0" u="none" strike="noStrike" kern="1200" cap="none" spc="0" baseline="0">
                <a:ln/>
                <a:solidFill>
                  <a:schemeClr val="accent4"/>
                </a:solidFill>
                <a:effectLst/>
                <a:latin typeface="+mn-lt"/>
                <a:ea typeface="+mn-ea"/>
                <a:cs typeface="+mn-cs"/>
              </a:defRPr>
            </a:pPr>
            <a:r>
              <a:rPr lang="en-US"/>
              <a:t>DEPARTMENT WISE ATTRITION ANALYSIS</a:t>
            </a:r>
          </a:p>
        </c:rich>
      </c:tx>
      <c:overlay val="0"/>
      <c:spPr>
        <a:noFill/>
        <a:ln>
          <a:noFill/>
        </a:ln>
        <a:effectLst/>
      </c:spPr>
      <c:txPr>
        <a:bodyPr rot="0" spcFirstLastPara="1" vertOverflow="ellipsis" vert="horz" wrap="square" anchor="ctr" anchorCtr="1"/>
        <a:lstStyle/>
        <a:p>
          <a:pPr>
            <a:defRPr sz="14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FINANCE</c:v>
                </c:pt>
                <c:pt idx="1">
                  <c:v>HR</c:v>
                </c:pt>
                <c:pt idx="2">
                  <c:v>IT</c:v>
                </c:pt>
                <c:pt idx="3">
                  <c:v>SALES </c:v>
                </c:pt>
              </c:strCache>
            </c:strRef>
          </c:cat>
          <c:val>
            <c:numRef>
              <c:f>Sheet2!$B$4:$B$8</c:f>
              <c:numCache>
                <c:formatCode>General</c:formatCode>
                <c:ptCount val="4"/>
                <c:pt idx="0">
                  <c:v>2</c:v>
                </c:pt>
                <c:pt idx="1">
                  <c:v>3</c:v>
                </c:pt>
                <c:pt idx="2">
                  <c:v>4</c:v>
                </c:pt>
                <c:pt idx="3">
                  <c:v>3</c:v>
                </c:pt>
              </c:numCache>
            </c:numRef>
          </c:val>
          <c:extLst>
            <c:ext xmlns:c16="http://schemas.microsoft.com/office/drawing/2014/chart" uri="{C3380CC4-5D6E-409C-BE32-E72D297353CC}">
              <c16:uniqueId val="{00000000-A20F-41A6-99AA-A6A1C9E803BE}"/>
            </c:ext>
          </c:extLst>
        </c:ser>
        <c:dLbls>
          <c:showLegendKey val="0"/>
          <c:showVal val="0"/>
          <c:showCatName val="0"/>
          <c:showSerName val="0"/>
          <c:showPercent val="0"/>
          <c:showBubbleSize val="0"/>
        </c:dLbls>
        <c:gapWidth val="219"/>
        <c:overlap val="-27"/>
        <c:axId val="1462864416"/>
        <c:axId val="1462868160"/>
      </c:barChart>
      <c:catAx>
        <c:axId val="146286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462868160"/>
        <c:crosses val="autoZero"/>
        <c:auto val="1"/>
        <c:lblAlgn val="ctr"/>
        <c:lblOffset val="100"/>
        <c:noMultiLvlLbl val="0"/>
      </c:catAx>
      <c:valAx>
        <c:axId val="146286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46286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cap="none" spc="0">
          <a:ln/>
          <a:solidFill>
            <a:schemeClr val="accent4"/>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[EMPLOYEE_ATTRITION_DASHBOARD.xlsx]Sheet2!PivotTable1</c:name>
    <c:fmtId val="2"/>
  </c:pivotSource>
  <c:chart>
    <c:title>
      <c:tx>
        <c:rich>
          <a:bodyPr rot="0" spcFirstLastPara="1" vertOverflow="ellipsis" vert="horz" wrap="square" anchor="ctr" anchorCtr="1"/>
          <a:lstStyle/>
          <a:p>
            <a:pPr>
              <a:defRPr sz="1400" b="1" i="0" u="none" strike="noStrike" kern="1200" cap="none" spc="0" baseline="0">
                <a:ln/>
                <a:solidFill>
                  <a:schemeClr val="accent4"/>
                </a:solidFill>
                <a:effectLst/>
                <a:latin typeface="+mn-lt"/>
                <a:ea typeface="+mn-ea"/>
                <a:cs typeface="+mn-cs"/>
              </a:defRPr>
            </a:pPr>
            <a:r>
              <a:rPr lang="en-US"/>
              <a:t>DEPARTMENT WISE ATTRITION ANALYSIS</a:t>
            </a:r>
          </a:p>
        </c:rich>
      </c:tx>
      <c:overlay val="0"/>
      <c:spPr>
        <a:noFill/>
        <a:ln>
          <a:noFill/>
        </a:ln>
        <a:effectLst/>
      </c:spPr>
      <c:txPr>
        <a:bodyPr rot="0" spcFirstLastPara="1" vertOverflow="ellipsis" vert="horz" wrap="square" anchor="ctr" anchorCtr="1"/>
        <a:lstStyle/>
        <a:p>
          <a:pPr>
            <a:defRPr sz="14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solidFill>
                    <a:schemeClr val="accent4"/>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FINANCE</c:v>
                </c:pt>
                <c:pt idx="1">
                  <c:v>HR</c:v>
                </c:pt>
                <c:pt idx="2">
                  <c:v>IT</c:v>
                </c:pt>
                <c:pt idx="3">
                  <c:v>SALES </c:v>
                </c:pt>
              </c:strCache>
            </c:strRef>
          </c:cat>
          <c:val>
            <c:numRef>
              <c:f>Sheet2!$B$4:$B$8</c:f>
              <c:numCache>
                <c:formatCode>General</c:formatCode>
                <c:ptCount val="4"/>
                <c:pt idx="0">
                  <c:v>2</c:v>
                </c:pt>
                <c:pt idx="1">
                  <c:v>3</c:v>
                </c:pt>
                <c:pt idx="2">
                  <c:v>4</c:v>
                </c:pt>
                <c:pt idx="3">
                  <c:v>3</c:v>
                </c:pt>
              </c:numCache>
            </c:numRef>
          </c:val>
          <c:extLst>
            <c:ext xmlns:c16="http://schemas.microsoft.com/office/drawing/2014/chart" uri="{C3380CC4-5D6E-409C-BE32-E72D297353CC}">
              <c16:uniqueId val="{00000000-00D1-4B48-9718-04174667EBCA}"/>
            </c:ext>
          </c:extLst>
        </c:ser>
        <c:dLbls>
          <c:showLegendKey val="0"/>
          <c:showVal val="0"/>
          <c:showCatName val="0"/>
          <c:showSerName val="0"/>
          <c:showPercent val="0"/>
          <c:showBubbleSize val="0"/>
        </c:dLbls>
        <c:gapWidth val="219"/>
        <c:overlap val="-27"/>
        <c:axId val="1462864416"/>
        <c:axId val="1462868160"/>
      </c:barChart>
      <c:catAx>
        <c:axId val="146286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462868160"/>
        <c:crosses val="autoZero"/>
        <c:auto val="1"/>
        <c:lblAlgn val="ctr"/>
        <c:lblOffset val="100"/>
        <c:noMultiLvlLbl val="0"/>
      </c:catAx>
      <c:valAx>
        <c:axId val="146286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crossAx val="146286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a:solidFill>
                <a:schemeClr val="accent4"/>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cap="none" spc="0">
          <a:ln/>
          <a:solidFill>
            <a:schemeClr val="accent4"/>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[EMPLOYEE_ATTRITION_DASHBOARD.xlsx]Sheet4!PivotTable2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DISTRIBUTION  BY GENDER</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FB-4A91-8797-4B10D62B8C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FB-4A91-8797-4B10D62B8C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Sheet4!$A$4:$A$6</c:f>
              <c:strCache>
                <c:ptCount val="2"/>
                <c:pt idx="0">
                  <c:v>FEMALE</c:v>
                </c:pt>
                <c:pt idx="1">
                  <c:v>MALE</c:v>
                </c:pt>
              </c:strCache>
            </c:strRef>
          </c:cat>
          <c:val>
            <c:numRef>
              <c:f>Sheet4!$B$4:$B$6</c:f>
              <c:numCache>
                <c:formatCode>General</c:formatCode>
                <c:ptCount val="2"/>
                <c:pt idx="0">
                  <c:v>6</c:v>
                </c:pt>
                <c:pt idx="1">
                  <c:v>6</c:v>
                </c:pt>
              </c:numCache>
            </c:numRef>
          </c:val>
          <c:extLst>
            <c:ext xmlns:c16="http://schemas.microsoft.com/office/drawing/2014/chart" uri="{C3380CC4-5D6E-409C-BE32-E72D297353CC}">
              <c16:uniqueId val="{00000004-0CFB-4A91-8797-4B10D62B8CF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[EMPLOYEE_ATTRITION_DASHBOARD.xlsx]Sheet4!PivotTable2</c:name>
    <c:fmtId val="0"/>
  </c:pivotSource>
  <c:chart>
    <c:title>
      <c:tx>
        <c:rich>
          <a:bodyPr rot="0" spcFirstLastPara="1" vertOverflow="ellipsis" vert="horz" wrap="square" anchor="ctr" anchorCtr="1"/>
          <a:lstStyle/>
          <a:p>
            <a:pPr>
              <a:defRPr sz="1400" b="1" i="0" u="none" strike="noStrike" kern="1200" cap="none" spc="0" baseline="0">
                <a:ln/>
                <a:solidFill>
                  <a:schemeClr val="accent3"/>
                </a:solidFill>
                <a:effectLst/>
                <a:latin typeface="+mn-lt"/>
                <a:ea typeface="+mn-ea"/>
                <a:cs typeface="+mn-cs"/>
              </a:defRPr>
            </a:pPr>
            <a:r>
              <a:rPr lang="en-US"/>
              <a:t>ATTRITION DISTRIBUTION</a:t>
            </a:r>
            <a:r>
              <a:rPr lang="en-US" baseline="0"/>
              <a:t>  BY GENDER</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spc="0" baseline="0">
              <a:ln/>
              <a:solidFill>
                <a:schemeClr val="accent3"/>
              </a:solidFill>
              <a:effectLst/>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a:solidFill>
                    <a:schemeClr val="accent3"/>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F51-451C-B8BD-C82BBA384F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F51-451C-B8BD-C82BBA384F42}"/>
              </c:ext>
            </c:extLst>
          </c:dPt>
          <c:cat>
            <c:strRef>
              <c:f>Sheet4!$A$4:$A$6</c:f>
              <c:strCache>
                <c:ptCount val="2"/>
                <c:pt idx="0">
                  <c:v>FEMALE</c:v>
                </c:pt>
                <c:pt idx="1">
                  <c:v>MALE</c:v>
                </c:pt>
              </c:strCache>
            </c:strRef>
          </c:cat>
          <c:val>
            <c:numRef>
              <c:f>Sheet4!$B$4:$B$6</c:f>
              <c:numCache>
                <c:formatCode>General</c:formatCode>
                <c:ptCount val="2"/>
                <c:pt idx="0">
                  <c:v>6</c:v>
                </c:pt>
                <c:pt idx="1">
                  <c:v>6</c:v>
                </c:pt>
              </c:numCache>
            </c:numRef>
          </c:val>
          <c:extLst>
            <c:ext xmlns:c16="http://schemas.microsoft.com/office/drawing/2014/chart" uri="{C3380CC4-5D6E-409C-BE32-E72D297353CC}">
              <c16:uniqueId val="{00000000-CE36-42C1-ACA6-849AB4E7860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a:solidFill>
                <a:schemeClr val="accent3"/>
              </a:solidFill>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accent5"/>
      </a:solidFill>
      <a:prstDash val="solid"/>
      <a:miter lim="800000"/>
    </a:ln>
    <a:effectLst/>
  </c:spPr>
  <c:txPr>
    <a:bodyPr/>
    <a:lstStyle/>
    <a:p>
      <a:pPr>
        <a:defRPr b="1" cap="none" spc="0">
          <a:ln/>
          <a:solidFill>
            <a:schemeClr val="accent3"/>
          </a:solidFill>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234950</xdr:colOff>
      <xdr:row>2</xdr:row>
      <xdr:rowOff>34925</xdr:rowOff>
    </xdr:from>
    <xdr:to>
      <xdr:col>9</xdr:col>
      <xdr:colOff>539750</xdr:colOff>
      <xdr:row>17</xdr:row>
      <xdr:rowOff>15875</xdr:rowOff>
    </xdr:to>
    <xdr:graphicFrame macro="">
      <xdr:nvGraphicFramePr>
        <xdr:cNvPr id="2" name="Chart 1">
          <a:extLst>
            <a:ext uri="{FF2B5EF4-FFF2-40B4-BE49-F238E27FC236}">
              <a16:creationId xmlns:a16="http://schemas.microsoft.com/office/drawing/2014/main" id="{F19AC0F7-7C8B-46A0-A269-FDDF66ED4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215900</xdr:colOff>
      <xdr:row>2</xdr:row>
      <xdr:rowOff>88900</xdr:rowOff>
    </xdr:from>
    <xdr:to>
      <xdr:col>13</xdr:col>
      <xdr:colOff>215900</xdr:colOff>
      <xdr:row>16</xdr:row>
      <xdr:rowOff>34925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0EDEC82-ED7C-42B4-8485-AE184FA33E9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194550" y="45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23813</xdr:rowOff>
    </xdr:from>
    <xdr:to>
      <xdr:col>4</xdr:col>
      <xdr:colOff>165100</xdr:colOff>
      <xdr:row>22</xdr:row>
      <xdr:rowOff>6350</xdr:rowOff>
    </xdr:to>
    <xdr:graphicFrame macro="">
      <xdr:nvGraphicFramePr>
        <xdr:cNvPr id="2" name="Chart 1">
          <a:extLst>
            <a:ext uri="{FF2B5EF4-FFF2-40B4-BE49-F238E27FC236}">
              <a16:creationId xmlns:a16="http://schemas.microsoft.com/office/drawing/2014/main" id="{54BCD5EC-659E-4530-9039-3D347B5A6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508000</xdr:colOff>
      <xdr:row>6</xdr:row>
      <xdr:rowOff>134937</xdr:rowOff>
    </xdr:from>
    <xdr:to>
      <xdr:col>12</xdr:col>
      <xdr:colOff>201613</xdr:colOff>
      <xdr:row>21</xdr:row>
      <xdr:rowOff>117475</xdr:rowOff>
    </xdr:to>
    <xdr:graphicFrame macro="">
      <xdr:nvGraphicFramePr>
        <xdr:cNvPr id="3" name="Chart 2">
          <a:extLst>
            <a:ext uri="{FF2B5EF4-FFF2-40B4-BE49-F238E27FC236}">
              <a16:creationId xmlns:a16="http://schemas.microsoft.com/office/drawing/2014/main" id="{C5F69769-DA17-4D2E-9557-D141FBC8C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571500</xdr:colOff>
      <xdr:row>7</xdr:row>
      <xdr:rowOff>134938</xdr:rowOff>
    </xdr:from>
    <xdr:to>
      <xdr:col>15</xdr:col>
      <xdr:colOff>571500</xdr:colOff>
      <xdr:row>21</xdr:row>
      <xdr:rowOff>82550</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89293623-171E-469C-99AF-5619462C356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781643" y="1822224"/>
              <a:ext cx="1823357" cy="2487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261937</xdr:colOff>
      <xdr:row>7</xdr:row>
      <xdr:rowOff>123825</xdr:rowOff>
    </xdr:from>
    <xdr:to>
      <xdr:col>19</xdr:col>
      <xdr:colOff>261936</xdr:colOff>
      <xdr:row>21</xdr:row>
      <xdr:rowOff>71437</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CB64ABB9-F8BD-41C7-82D5-63B8CDA7C17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903223" y="1811111"/>
              <a:ext cx="1823356" cy="2487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234950</xdr:colOff>
      <xdr:row>2</xdr:row>
      <xdr:rowOff>123825</xdr:rowOff>
    </xdr:from>
    <xdr:to>
      <xdr:col>9</xdr:col>
      <xdr:colOff>539750</xdr:colOff>
      <xdr:row>17</xdr:row>
      <xdr:rowOff>104775</xdr:rowOff>
    </xdr:to>
    <xdr:graphicFrame macro="">
      <xdr:nvGraphicFramePr>
        <xdr:cNvPr id="2" name="Chart 1">
          <a:extLst>
            <a:ext uri="{FF2B5EF4-FFF2-40B4-BE49-F238E27FC236}">
              <a16:creationId xmlns:a16="http://schemas.microsoft.com/office/drawing/2014/main" id="{1EB80E02-A2B9-4B25-BB0B-CDF901AF6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3</xdr:row>
      <xdr:rowOff>0</xdr:rowOff>
    </xdr:from>
    <xdr:to>
      <xdr:col>14</xdr:col>
      <xdr:colOff>0</xdr:colOff>
      <xdr:row>16</xdr:row>
      <xdr:rowOff>130175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9777202-1E87-4CD9-8734-74E6AC26EE3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588250" y="552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refreshedDate="46159.790962962965" createdVersion="7" refreshedVersion="7" minRefreshableVersion="3" recordCount="12" xr:uid="{E6ECCFC8-F608-4C06-BA01-1CC0C5F38EAE}">
  <cacheSource type="worksheet">
    <worksheetSource name="Table1"/>
  </cacheSource>
  <cacheFields count="11">
    <cacheField name="EMPLOYEE ID" numFmtId="0">
      <sharedItems containsSemiMixedTypes="0" containsString="0" containsNumber="1" containsInteger="1" minValue="101" maxValue="112"/>
    </cacheField>
    <cacheField name="NAME" numFmtId="0">
      <sharedItems/>
    </cacheField>
    <cacheField name="DEPARTMENT" numFmtId="0">
      <sharedItems count="4">
        <s v="IT"/>
        <s v="HR"/>
        <s v="SALES "/>
        <s v="FINANCE"/>
      </sharedItems>
    </cacheField>
    <cacheField name="GENDER" numFmtId="0">
      <sharedItems count="2">
        <s v="MALE"/>
        <s v="FEMALE"/>
      </sharedItems>
    </cacheField>
    <cacheField name="SALARY " numFmtId="0">
      <sharedItems containsSemiMixedTypes="0" containsString="0" containsNumber="1" containsInteger="1" minValue="35000" maxValue="80000"/>
    </cacheField>
    <cacheField name="EXPERIRENCE" numFmtId="0">
      <sharedItems containsSemiMixedTypes="0" containsString="0" containsNumber="1" containsInteger="1" minValue="1" maxValue="6"/>
    </cacheField>
    <cacheField name="ATTRITION" numFmtId="0">
      <sharedItems/>
    </cacheField>
    <cacheField name="TOTAL EMPLOYEES" numFmtId="0">
      <sharedItems containsString="0" containsBlank="1" containsNumber="1" containsInteger="1" minValue="12" maxValue="12"/>
    </cacheField>
    <cacheField name="ATTRITION COUNT" numFmtId="0">
      <sharedItems containsString="0" containsBlank="1" containsNumber="1" containsInteger="1" minValue="5" maxValue="5"/>
    </cacheField>
    <cacheField name="ATTRITION RATE" numFmtId="0">
      <sharedItems containsString="0" containsBlank="1" containsNumber="1" minValue="0.41666666666666669" maxValue="0.41666666666666669"/>
    </cacheField>
    <cacheField name="AVERAGE SALARY" numFmtId="0">
      <sharedItems containsString="0" containsBlank="1" containsNumber="1" minValue="52166.666666666664" maxValue="52166.666666666664"/>
    </cacheField>
  </cacheFields>
  <extLst>
    <ext xmlns:x14="http://schemas.microsoft.com/office/spreadsheetml/2009/9/main" uri="{725AE2AE-9491-48be-B2B4-4EB974FC3084}">
      <x14:pivotCacheDefinition pivotCacheId="2014168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01"/>
    <s v="RAHUL  "/>
    <x v="0"/>
    <x v="0"/>
    <n v="55000"/>
    <n v="2"/>
    <s v="NO"/>
    <n v="12"/>
    <n v="5"/>
    <n v="0.41666666666666669"/>
    <n v="52166.666666666664"/>
  </r>
  <r>
    <n v="102"/>
    <s v="AMAN"/>
    <x v="1"/>
    <x v="0"/>
    <n v="42000"/>
    <n v="1"/>
    <s v="YES"/>
    <m/>
    <m/>
    <m/>
    <m/>
  </r>
  <r>
    <n v="103"/>
    <s v="NEHA"/>
    <x v="0"/>
    <x v="1"/>
    <n v="70000"/>
    <n v="4"/>
    <s v="NO"/>
    <m/>
    <m/>
    <m/>
    <m/>
  </r>
  <r>
    <n v="104"/>
    <s v="RIYA"/>
    <x v="2"/>
    <x v="1"/>
    <n v="35000"/>
    <n v="1"/>
    <s v="YES"/>
    <m/>
    <m/>
    <m/>
    <m/>
  </r>
  <r>
    <n v="105"/>
    <s v="KARAN"/>
    <x v="3"/>
    <x v="0"/>
    <n v="60000"/>
    <n v="5"/>
    <s v="NO"/>
    <m/>
    <m/>
    <m/>
    <m/>
  </r>
  <r>
    <n v="106"/>
    <s v="POOJA"/>
    <x v="1"/>
    <x v="1"/>
    <n v="39000"/>
    <n v="2"/>
    <s v="YES"/>
    <m/>
    <m/>
    <m/>
    <m/>
  </r>
  <r>
    <n v="107"/>
    <s v="MOHIT"/>
    <x v="0"/>
    <x v="0"/>
    <n v="80000"/>
    <n v="6"/>
    <s v="NO"/>
    <m/>
    <m/>
    <m/>
    <m/>
  </r>
  <r>
    <n v="108"/>
    <s v="SNEHA"/>
    <x v="2"/>
    <x v="1"/>
    <n v="45000"/>
    <n v="3"/>
    <s v="NO"/>
    <m/>
    <m/>
    <m/>
    <m/>
  </r>
  <r>
    <n v="109"/>
    <s v="ARJUN"/>
    <x v="3"/>
    <x v="0"/>
    <n v="50000"/>
    <n v="4"/>
    <s v="NO"/>
    <m/>
    <m/>
    <m/>
    <m/>
  </r>
  <r>
    <n v="110"/>
    <s v="SIMRAN"/>
    <x v="1"/>
    <x v="1"/>
    <n v="47000"/>
    <n v="2"/>
    <s v="YES"/>
    <m/>
    <m/>
    <m/>
    <m/>
  </r>
  <r>
    <n v="111"/>
    <s v="VIKAS"/>
    <x v="0"/>
    <x v="0"/>
    <n v="65000"/>
    <n v="5"/>
    <s v="NO"/>
    <m/>
    <m/>
    <m/>
    <m/>
  </r>
  <r>
    <n v="112"/>
    <s v="ANJALI"/>
    <x v="2"/>
    <x v="1"/>
    <n v="38000"/>
    <n v="1"/>
    <s v="YES"/>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DAF1A-376D-4BE2-96BC-79C8170FD699}"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1">
    <pivotField showAll="0"/>
    <pivotField showAll="0"/>
    <pivotField axis="axisRow" showAll="0">
      <items count="5">
        <item x="3"/>
        <item x="1"/>
        <item x="0"/>
        <item x="2"/>
        <item t="default"/>
      </items>
    </pivotField>
    <pivotField showAll="0">
      <items count="3">
        <item x="1"/>
        <item x="0"/>
        <item t="default"/>
      </items>
    </pivotField>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Count of ATTRITION" fld="6"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32DE1F-52F6-47B2-AC56-920EA282FBBD}"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11">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s>
  <rowFields count="1">
    <field x="3"/>
  </rowFields>
  <rowItems count="3">
    <i>
      <x/>
    </i>
    <i>
      <x v="1"/>
    </i>
    <i t="grand">
      <x/>
    </i>
  </rowItems>
  <colItems count="1">
    <i/>
  </colItems>
  <dataFields count="1">
    <dataField name="Count of ATTRITION" fld="6"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06846D9-A8D7-4159-80F2-7C3F8F585EB1}" sourceName="DEPARTMENT">
  <pivotTables>
    <pivotTable tabId="2" name="PivotTable1"/>
  </pivotTables>
  <data>
    <tabular pivotCacheId="201416816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F49FC52-6C59-4273-9910-79A7EA53E93F}" sourceName="GENDER">
  <pivotTables>
    <pivotTable tabId="2" name="PivotTable1"/>
  </pivotTables>
  <data>
    <tabular pivotCacheId="20141681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507FABE-E30D-479F-8FED-342431CDF932}"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88BE81C-CD5A-4864-BD92-3F5E6B36154A}" cache="Slicer_DEPARTMENT" caption="DEPARTMENT" style="SlicerStyleLight4" rowHeight="241300"/>
  <slicer name="GENDER 2" xr10:uid="{6EFD4600-30E4-4961-935A-9B791EB523CD}" cache="Slicer_GENDER" caption="GENDER"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093D30C-62DD-4F7A-BA05-EE54F3F17DEC}"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59FCE-B4F6-4231-98F6-DAD42FD5503D}" name="Table1" displayName="Table1" ref="A2:K14" totalsRowShown="0">
  <autoFilter ref="A2:K14" xr:uid="{72659FCE-B4F6-4231-98F6-DAD42FD5503D}"/>
  <tableColumns count="11">
    <tableColumn id="1" xr3:uid="{6797F06E-13AF-443C-BBC2-92F4D149DF83}" name="EMPLOYEE ID"/>
    <tableColumn id="2" xr3:uid="{C0290489-529F-41A8-9A47-591A0F7EDE43}" name="NAME"/>
    <tableColumn id="3" xr3:uid="{C907F347-8043-4C2C-B8C6-C08E99952484}" name="DEPARTMENT"/>
    <tableColumn id="4" xr3:uid="{08925D61-5649-4939-80C2-2A06126488F5}" name="GENDER"/>
    <tableColumn id="5" xr3:uid="{905FDAEF-C735-4FB3-A627-5F9631178EEC}" name="SALARY "/>
    <tableColumn id="6" xr3:uid="{9D04DC41-8B76-4115-A3A1-B14228ED9874}" name="EXPERIRENCE"/>
    <tableColumn id="7" xr3:uid="{F2861B03-C993-457D-B393-C0514FC18E05}" name="ATTRITION"/>
    <tableColumn id="8" xr3:uid="{2652C8F5-0878-4A91-A5D5-E5A0AC4E08FD}" name="TOTAL EMPLOYEES" dataDxfId="3">
      <calculatedColumnFormula>COUNTA(B3:B14)</calculatedColumnFormula>
    </tableColumn>
    <tableColumn id="9" xr3:uid="{932DFE14-69B7-4744-AF42-4BA9C31006CF}" name="ATTRITION COUNT" dataDxfId="2">
      <calculatedColumnFormula>COUNTIF(G3:G14,"YES")</calculatedColumnFormula>
    </tableColumn>
    <tableColumn id="10" xr3:uid="{181F2793-DA48-4870-9393-79F361F974F6}" name="ATTRITION RATE" dataDxfId="1">
      <calculatedColumnFormula>5/12</calculatedColumnFormula>
    </tableColumn>
    <tableColumn id="11" xr3:uid="{900D5F1C-2F76-40D6-BB36-98FE75855CA3}" name="AVERAGE SALARY" dataDxfId="0">
      <calculatedColumnFormula>AVERAGE(Table1[[SALARY ]])</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9FF8-373F-442E-9776-95A3F35A414E}">
  <dimension ref="A3:B8"/>
  <sheetViews>
    <sheetView workbookViewId="0">
      <selection activeCell="K18" sqref="K18"/>
    </sheetView>
  </sheetViews>
  <sheetFormatPr defaultRowHeight="14.5" x14ac:dyDescent="0.35"/>
  <cols>
    <col min="1" max="1" width="12.36328125" bestFit="1" customWidth="1"/>
    <col min="2" max="2" width="17.7265625" bestFit="1" customWidth="1"/>
  </cols>
  <sheetData>
    <row r="3" spans="1:2" x14ac:dyDescent="0.35">
      <c r="A3" s="3" t="s">
        <v>32</v>
      </c>
      <c r="B3" t="s">
        <v>34</v>
      </c>
    </row>
    <row r="4" spans="1:2" x14ac:dyDescent="0.35">
      <c r="A4" s="4" t="s">
        <v>23</v>
      </c>
      <c r="B4" s="5">
        <v>2</v>
      </c>
    </row>
    <row r="5" spans="1:2" x14ac:dyDescent="0.35">
      <c r="A5" s="4" t="s">
        <v>21</v>
      </c>
      <c r="B5" s="5">
        <v>3</v>
      </c>
    </row>
    <row r="6" spans="1:2" x14ac:dyDescent="0.35">
      <c r="A6" s="4" t="s">
        <v>20</v>
      </c>
      <c r="B6" s="5">
        <v>4</v>
      </c>
    </row>
    <row r="7" spans="1:2" x14ac:dyDescent="0.35">
      <c r="A7" s="4" t="s">
        <v>22</v>
      </c>
      <c r="B7" s="5">
        <v>3</v>
      </c>
    </row>
    <row r="8" spans="1:2" x14ac:dyDescent="0.35">
      <c r="A8" s="4" t="s">
        <v>33</v>
      </c>
      <c r="B8" s="5">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74060-5457-4CCB-8461-F562FA4C5C87}">
  <dimension ref="A1:Z3"/>
  <sheetViews>
    <sheetView showGridLines="0" tabSelected="1" zoomScale="70" zoomScaleNormal="70" workbookViewId="0">
      <selection activeCell="F24" sqref="F24"/>
    </sheetView>
  </sheetViews>
  <sheetFormatPr defaultRowHeight="14.5" x14ac:dyDescent="0.35"/>
  <cols>
    <col min="1" max="1" width="27.6328125" bestFit="1" customWidth="1"/>
    <col min="2" max="2" width="27.26953125" bestFit="1" customWidth="1"/>
    <col min="3" max="3" width="24.26953125" bestFit="1" customWidth="1"/>
    <col min="4" max="4" width="26" bestFit="1" customWidth="1"/>
  </cols>
  <sheetData>
    <row r="1" spans="1:26" ht="28.5" x14ac:dyDescent="0.65">
      <c r="A1" s="10" t="s">
        <v>35</v>
      </c>
      <c r="B1" s="11"/>
      <c r="C1" s="11"/>
      <c r="D1" s="11"/>
      <c r="E1" s="11"/>
      <c r="F1" s="11"/>
      <c r="G1" s="11"/>
      <c r="H1" s="11"/>
      <c r="I1" s="11"/>
      <c r="J1" s="11"/>
      <c r="K1" s="11"/>
      <c r="L1" s="11"/>
      <c r="M1" s="11"/>
      <c r="N1" s="11"/>
      <c r="O1" s="11"/>
      <c r="P1" s="11"/>
      <c r="Q1" s="11"/>
      <c r="R1" s="11"/>
      <c r="S1" s="11"/>
      <c r="T1" s="11"/>
      <c r="U1" s="11"/>
      <c r="V1" s="11"/>
      <c r="W1" s="11"/>
      <c r="X1" s="11"/>
      <c r="Y1" s="11"/>
      <c r="Z1" s="11"/>
    </row>
    <row r="2" spans="1:26" ht="23.5" x14ac:dyDescent="0.55000000000000004">
      <c r="A2" s="6" t="s">
        <v>28</v>
      </c>
      <c r="B2" s="6" t="s">
        <v>29</v>
      </c>
      <c r="C2" s="6" t="s">
        <v>30</v>
      </c>
      <c r="D2" s="6" t="s">
        <v>31</v>
      </c>
    </row>
    <row r="3" spans="1:26" ht="23.5" x14ac:dyDescent="0.55000000000000004">
      <c r="A3" s="7">
        <v>12</v>
      </c>
      <c r="B3" s="7">
        <v>5</v>
      </c>
      <c r="C3" s="8">
        <f t="shared" ref="C3" si="0">5/12</f>
        <v>0.41666666666666669</v>
      </c>
      <c r="D3" s="9">
        <f>AVERAGE(Table1[[SALARY ]])</f>
        <v>52166.666666666664</v>
      </c>
    </row>
  </sheetData>
  <mergeCells count="1">
    <mergeCell ref="A1:Z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96F3-65E7-4CDC-9FF9-4F9EFD68DF53}">
  <dimension ref="A1"/>
  <sheetViews>
    <sheetView workbookViewId="0"/>
  </sheetViews>
  <sheetFormatPr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C84D2-D586-4D32-9FA4-3DEFC06745A5}">
  <dimension ref="A3:B6"/>
  <sheetViews>
    <sheetView workbookViewId="0">
      <selection activeCell="L4" sqref="L4"/>
    </sheetView>
  </sheetViews>
  <sheetFormatPr defaultRowHeight="14.5" x14ac:dyDescent="0.35"/>
  <cols>
    <col min="1" max="1" width="12.36328125" bestFit="1" customWidth="1"/>
    <col min="2" max="2" width="17.7265625" bestFit="1" customWidth="1"/>
  </cols>
  <sheetData>
    <row r="3" spans="1:2" x14ac:dyDescent="0.35">
      <c r="A3" s="3" t="s">
        <v>32</v>
      </c>
      <c r="B3" t="s">
        <v>34</v>
      </c>
    </row>
    <row r="4" spans="1:2" x14ac:dyDescent="0.35">
      <c r="A4" s="4" t="s">
        <v>25</v>
      </c>
      <c r="B4" s="5">
        <v>6</v>
      </c>
    </row>
    <row r="5" spans="1:2" x14ac:dyDescent="0.35">
      <c r="A5" s="4" t="s">
        <v>24</v>
      </c>
      <c r="B5" s="5">
        <v>6</v>
      </c>
    </row>
    <row r="6" spans="1:2" x14ac:dyDescent="0.35">
      <c r="A6" s="4" t="s">
        <v>33</v>
      </c>
      <c r="B6" s="5">
        <v>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07A6A-2E52-4A8E-B17E-B6B59B8318FD}">
  <dimension ref="A1:L14"/>
  <sheetViews>
    <sheetView workbookViewId="0">
      <selection activeCell="F17" sqref="F17"/>
    </sheetView>
  </sheetViews>
  <sheetFormatPr defaultRowHeight="14.5" x14ac:dyDescent="0.35"/>
  <cols>
    <col min="1" max="1" width="14.36328125" bestFit="1" customWidth="1"/>
    <col min="2" max="2" width="8.26953125" bestFit="1" customWidth="1"/>
    <col min="3" max="3" width="14.7265625" bestFit="1" customWidth="1"/>
    <col min="4" max="4" width="10" bestFit="1" customWidth="1"/>
    <col min="5" max="5" width="9.7265625" bestFit="1" customWidth="1"/>
    <col min="6" max="6" width="14.36328125" bestFit="1" customWidth="1"/>
    <col min="7" max="7" width="12.08984375" bestFit="1" customWidth="1"/>
    <col min="8" max="8" width="18.90625" bestFit="1" customWidth="1"/>
    <col min="9" max="9" width="18.6328125" bestFit="1" customWidth="1"/>
    <col min="10" max="10" width="16.90625" bestFit="1" customWidth="1"/>
    <col min="11" max="11" width="17.7265625" bestFit="1" customWidth="1"/>
  </cols>
  <sheetData>
    <row r="1" spans="1:12" ht="28.5" x14ac:dyDescent="0.65">
      <c r="A1" s="12" t="s">
        <v>0</v>
      </c>
      <c r="B1" s="12"/>
      <c r="C1" s="12"/>
      <c r="D1" s="12"/>
      <c r="E1" s="12"/>
      <c r="F1" s="12"/>
      <c r="G1" s="12"/>
      <c r="H1" s="12"/>
      <c r="I1" s="12"/>
      <c r="J1" s="12"/>
      <c r="K1" s="12"/>
      <c r="L1" s="12"/>
    </row>
    <row r="2" spans="1:12" x14ac:dyDescent="0.35">
      <c r="A2" t="s">
        <v>1</v>
      </c>
      <c r="B2" t="s">
        <v>2</v>
      </c>
      <c r="C2" t="s">
        <v>3</v>
      </c>
      <c r="D2" t="s">
        <v>4</v>
      </c>
      <c r="E2" t="s">
        <v>5</v>
      </c>
      <c r="F2" t="s">
        <v>6</v>
      </c>
      <c r="G2" t="s">
        <v>7</v>
      </c>
      <c r="H2" t="s">
        <v>28</v>
      </c>
      <c r="I2" t="s">
        <v>29</v>
      </c>
      <c r="J2" t="s">
        <v>30</v>
      </c>
      <c r="K2" t="s">
        <v>31</v>
      </c>
    </row>
    <row r="3" spans="1:12" x14ac:dyDescent="0.35">
      <c r="A3">
        <v>101</v>
      </c>
      <c r="B3" t="s">
        <v>8</v>
      </c>
      <c r="C3" t="s">
        <v>20</v>
      </c>
      <c r="D3" t="s">
        <v>24</v>
      </c>
      <c r="E3">
        <v>55000</v>
      </c>
      <c r="F3">
        <v>2</v>
      </c>
      <c r="G3" t="s">
        <v>26</v>
      </c>
      <c r="H3">
        <f t="shared" ref="H3" si="0">COUNTA(B3:B14)</f>
        <v>12</v>
      </c>
      <c r="I3">
        <f t="shared" ref="I3" si="1">COUNTIF(G3:G14,"YES")</f>
        <v>5</v>
      </c>
      <c r="J3" s="2">
        <f t="shared" ref="J3" si="2">5/12</f>
        <v>0.41666666666666669</v>
      </c>
      <c r="K3" s="1">
        <f>AVERAGE(Table1[[SALARY ]])</f>
        <v>52166.666666666664</v>
      </c>
    </row>
    <row r="4" spans="1:12" x14ac:dyDescent="0.35">
      <c r="A4">
        <v>102</v>
      </c>
      <c r="B4" t="s">
        <v>9</v>
      </c>
      <c r="C4" t="s">
        <v>21</v>
      </c>
      <c r="D4" t="s">
        <v>24</v>
      </c>
      <c r="E4">
        <v>42000</v>
      </c>
      <c r="F4">
        <v>1</v>
      </c>
      <c r="G4" t="s">
        <v>27</v>
      </c>
      <c r="J4" s="1"/>
    </row>
    <row r="5" spans="1:12" x14ac:dyDescent="0.35">
      <c r="A5">
        <v>103</v>
      </c>
      <c r="B5" t="s">
        <v>10</v>
      </c>
      <c r="C5" t="s">
        <v>20</v>
      </c>
      <c r="D5" t="s">
        <v>25</v>
      </c>
      <c r="E5">
        <v>70000</v>
      </c>
      <c r="F5">
        <v>4</v>
      </c>
      <c r="G5" t="s">
        <v>26</v>
      </c>
      <c r="J5" s="1"/>
    </row>
    <row r="6" spans="1:12" x14ac:dyDescent="0.35">
      <c r="A6">
        <v>104</v>
      </c>
      <c r="B6" t="s">
        <v>11</v>
      </c>
      <c r="C6" t="s">
        <v>22</v>
      </c>
      <c r="D6" t="s">
        <v>25</v>
      </c>
      <c r="E6">
        <v>35000</v>
      </c>
      <c r="F6">
        <v>1</v>
      </c>
      <c r="G6" t="s">
        <v>27</v>
      </c>
      <c r="J6" s="1"/>
    </row>
    <row r="7" spans="1:12" x14ac:dyDescent="0.35">
      <c r="A7">
        <v>105</v>
      </c>
      <c r="B7" t="s">
        <v>12</v>
      </c>
      <c r="C7" t="s">
        <v>23</v>
      </c>
      <c r="D7" t="s">
        <v>24</v>
      </c>
      <c r="E7">
        <v>60000</v>
      </c>
      <c r="F7">
        <v>5</v>
      </c>
      <c r="G7" t="s">
        <v>26</v>
      </c>
      <c r="J7" s="1"/>
    </row>
    <row r="8" spans="1:12" x14ac:dyDescent="0.35">
      <c r="A8">
        <v>106</v>
      </c>
      <c r="B8" t="s">
        <v>13</v>
      </c>
      <c r="C8" t="s">
        <v>21</v>
      </c>
      <c r="D8" t="s">
        <v>25</v>
      </c>
      <c r="E8">
        <v>39000</v>
      </c>
      <c r="F8">
        <v>2</v>
      </c>
      <c r="G8" t="s">
        <v>27</v>
      </c>
      <c r="J8" s="1"/>
    </row>
    <row r="9" spans="1:12" x14ac:dyDescent="0.35">
      <c r="A9">
        <v>107</v>
      </c>
      <c r="B9" t="s">
        <v>14</v>
      </c>
      <c r="C9" t="s">
        <v>20</v>
      </c>
      <c r="D9" t="s">
        <v>24</v>
      </c>
      <c r="E9">
        <v>80000</v>
      </c>
      <c r="F9">
        <v>6</v>
      </c>
      <c r="G9" t="s">
        <v>26</v>
      </c>
      <c r="J9" s="1"/>
    </row>
    <row r="10" spans="1:12" x14ac:dyDescent="0.35">
      <c r="A10">
        <v>108</v>
      </c>
      <c r="B10" t="s">
        <v>15</v>
      </c>
      <c r="C10" t="s">
        <v>22</v>
      </c>
      <c r="D10" t="s">
        <v>25</v>
      </c>
      <c r="E10">
        <v>45000</v>
      </c>
      <c r="F10">
        <v>3</v>
      </c>
      <c r="G10" t="s">
        <v>26</v>
      </c>
      <c r="J10" s="1"/>
    </row>
    <row r="11" spans="1:12" x14ac:dyDescent="0.35">
      <c r="A11">
        <v>109</v>
      </c>
      <c r="B11" t="s">
        <v>16</v>
      </c>
      <c r="C11" t="s">
        <v>23</v>
      </c>
      <c r="D11" t="s">
        <v>24</v>
      </c>
      <c r="E11">
        <v>50000</v>
      </c>
      <c r="F11">
        <v>4</v>
      </c>
      <c r="G11" t="s">
        <v>26</v>
      </c>
      <c r="J11" s="1"/>
    </row>
    <row r="12" spans="1:12" x14ac:dyDescent="0.35">
      <c r="A12">
        <v>110</v>
      </c>
      <c r="B12" t="s">
        <v>17</v>
      </c>
      <c r="C12" t="s">
        <v>21</v>
      </c>
      <c r="D12" t="s">
        <v>25</v>
      </c>
      <c r="E12">
        <v>47000</v>
      </c>
      <c r="F12">
        <v>2</v>
      </c>
      <c r="G12" t="s">
        <v>27</v>
      </c>
      <c r="J12" s="1"/>
    </row>
    <row r="13" spans="1:12" x14ac:dyDescent="0.35">
      <c r="A13">
        <v>111</v>
      </c>
      <c r="B13" t="s">
        <v>18</v>
      </c>
      <c r="C13" t="s">
        <v>20</v>
      </c>
      <c r="D13" t="s">
        <v>24</v>
      </c>
      <c r="E13">
        <v>65000</v>
      </c>
      <c r="F13">
        <v>5</v>
      </c>
      <c r="G13" t="s">
        <v>26</v>
      </c>
      <c r="J13" s="1"/>
    </row>
    <row r="14" spans="1:12" x14ac:dyDescent="0.35">
      <c r="A14">
        <v>112</v>
      </c>
      <c r="B14" t="s">
        <v>19</v>
      </c>
      <c r="C14" t="s">
        <v>22</v>
      </c>
      <c r="D14" t="s">
        <v>25</v>
      </c>
      <c r="E14">
        <v>38000</v>
      </c>
      <c r="F14">
        <v>1</v>
      </c>
      <c r="G14" t="s">
        <v>27</v>
      </c>
      <c r="J14" s="1"/>
    </row>
  </sheetData>
  <mergeCells count="1">
    <mergeCell ref="A1:L1"/>
  </mergeCells>
  <conditionalFormatting sqref="E3:E14">
    <cfRule type="cellIs" dxfId="8" priority="6" operator="greaterThan">
      <formula>60000</formula>
    </cfRule>
    <cfRule type="cellIs" dxfId="7" priority="5" operator="lessThan">
      <formula>40000</formula>
    </cfRule>
  </conditionalFormatting>
  <conditionalFormatting sqref="G3:G14">
    <cfRule type="cellIs" dxfId="6" priority="4" operator="greaterThan">
      <formula>"YES"</formula>
    </cfRule>
    <cfRule type="dataBar" priority="3">
      <dataBar>
        <cfvo type="min"/>
        <cfvo type="max"/>
        <color rgb="FFD6007B"/>
      </dataBar>
      <extLst>
        <ext xmlns:x14="http://schemas.microsoft.com/office/spreadsheetml/2009/9/main" uri="{B025F937-C7B1-47D3-B67F-A62EFF666E3E}">
          <x14:id>{5F11205D-8A74-409A-89A6-90451EDB8646}</x14:id>
        </ext>
      </extLst>
    </cfRule>
    <cfRule type="containsText" dxfId="5" priority="2" operator="containsText" text="YES">
      <formula>NOT(ISERROR(SEARCH("YES",G3)))</formula>
    </cfRule>
    <cfRule type="containsText" dxfId="4" priority="1" operator="containsText" text="NO">
      <formula>NOT(ISERROR(SEARCH("NO",G3)))</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F11205D-8A74-409A-89A6-90451EDB8646}">
            <x14:dataBar minLength="0" maxLength="100" border="1" negativeBarBorderColorSameAsPositive="0">
              <x14:cfvo type="autoMin"/>
              <x14:cfvo type="autoMax"/>
              <x14:borderColor rgb="FFD6007B"/>
              <x14:negativeFillColor rgb="FFFF0000"/>
              <x14:negativeBorderColor rgb="FFFF0000"/>
              <x14:axisColor rgb="FF000000"/>
            </x14:dataBar>
          </x14:cfRule>
          <xm:sqref>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Sheet5</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 Kostha</dc:creator>
  <cp:lastModifiedBy>Sonali Kostha</cp:lastModifiedBy>
  <dcterms:created xsi:type="dcterms:W3CDTF">2026-05-17T13:07:09Z</dcterms:created>
  <dcterms:modified xsi:type="dcterms:W3CDTF">2026-05-18T13:37:56Z</dcterms:modified>
</cp:coreProperties>
</file>